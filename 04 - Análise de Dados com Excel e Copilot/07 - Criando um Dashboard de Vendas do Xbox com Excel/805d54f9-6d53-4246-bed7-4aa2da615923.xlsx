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104588186a554b/Área de Trabalho/Arquivos Mateus/Santander 2025 - Ciência de Dados com Python/04 - Análise de Dados com Excel e Copilot/07 - Criando um Dashboard de Vendas do Xbox com Excel/"/>
    </mc:Choice>
  </mc:AlternateContent>
  <xr:revisionPtr revIDLastSave="3" documentId="13_ncr:1_{3C2F8ED6-40B2-4E08-832A-7140AC03FA60}" xr6:coauthVersionLast="47" xr6:coauthVersionMax="47" xr10:uidLastSave="{1B7F39F7-9367-49B3-8A7B-1C099B7970EA}"/>
  <bookViews>
    <workbookView xWindow="25695" yWindow="0" windowWidth="26010" windowHeight="21705" tabRatio="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3" l="1"/>
  <c r="D30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<sst xmlns="http://schemas.openxmlformats.org/spreadsheetml/2006/main" count="2023" uniqueCount="325">
  <si>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</si>
  <si>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</si>
  <si>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</si>
  <si>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</si>
  <si>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</si>
  <si>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</si>
  <si>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</si>
  <si>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</si>
  <si>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</si>
  <si>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</si>
  <si>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</si>
  <si>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</si>
  <si>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</si>
  <si>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</si>
  <si>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</si>
  <si>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</si>
  <si>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</si>
  <si>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</si>
  <si>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</si>
  <si>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</si>
  <si>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</si>
  <si>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</si>
  <si>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</si>
  <si>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</si>
  <si>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</si>
  <si>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</si>
  <si>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</si>
  <si>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</si>
  <si>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</si>
  <si>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</si>
  <si>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</si>
  <si>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</si>
  <si>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</si>
  <si>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</si>
  <si>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</si>
  <si>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</si>
  <si>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</si>
  <si>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</si>
  <si>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</si>
  <si>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</si>
  <si>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</si>
  <si>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</si>
  <si>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</si>
  <si>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</si>
  <si>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</si>
  <si>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</si>
  <si>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</si>
  <si>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</si>
  <si>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</si>
  <si>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</si>
  <si>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</si>
  <si>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</si>
  <si>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</si>
  <si>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</si>
  <si>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</si>
  <si>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</si>
  <si>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</si>
  <si>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</si>
  <si>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</si>
  <si>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</si>
  <si>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</si>
  <si>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</si>
  <si>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</si>
  <si>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</si>
  <si>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</si>
  <si>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</si>
  <si>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</si>
  <si>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</si>
  <si>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</si>
  <si>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</si>
  <si>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</si>
  <si>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</si>
  <si>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</si>
  <si>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</si>
  <si>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</si>
  <si>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</si>
  <si>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</si>
  <si>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</si>
  <si>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</si>
  <si>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</si>
  <si>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</si>
  <si>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</si>
  <si>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</si>
  <si>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</si>
  <si>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</si>
  <si>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</si>
  <si>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</si>
  <si>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</si>
  <si>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</si>
  <si>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</si>
  <si>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</si>
  <si>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</si>
  <si>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</si>
  <si>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</si>
  <si>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</si>
  <si>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</si>
  <si>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</si>
  <si>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</si>
  <si>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</si>
  <si>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</si>
  <si>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</si>
  <si>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</si>
  <si>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</si>
  <si>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</si>
  <si>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</si>
  <si>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</si>
  <si>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</si>
  <si>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</si>
  <si>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</si>
  <si>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</si>
  <si>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</si>
  <si>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</si>
  <si>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</si>
  <si>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</si>
  <si>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</si>
  <si>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</si>
  <si>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</si>
  <si>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</si>
  <si>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</si>
  <si>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</si>
  <si>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</si>
  <si>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</si>
  <si>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</si>
  <si>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</si>
  <si>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</si>
  <si>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</si>
  <si>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</si>
  <si>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</si>
  <si>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</si>
  <si>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</si>
  <si>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</si>
  <si>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</si>
  <si>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</si>
  <si>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</si>
  <si>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</si>
  <si>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</si>
  <si>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</si>
  <si>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</si>
  <si>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</si>
  <si>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</si>
  <si>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</si>
  <si>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</si>
  <si>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</si>
  <si>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</si>
  <si>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</si>
  <si>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</si>
  <si>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</si>
  <si>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</si>
  <si>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</si>
  <si>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</si>
  <si>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</si>
  <si>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</si>
  <si>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</si>
  <si>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</si>
  <si>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</si>
  <si>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</si>
  <si>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</si>
  <si>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</si>
  <si>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</si>
  <si>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</si>
  <si>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</si>
  <si>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</si>
  <si>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</si>
  <si>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</si>
  <si>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</si>
  <si>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</si>
  <si>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</si>
  <si>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</si>
  <si>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</si>
  <si>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</si>
  <si>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</si>
  <si>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</si>
  <si>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</si>
  <si>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</si>
  <si>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</si>
  <si>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</si>
  <si>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</si>
  <si>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</si>
  <si>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</si>
  <si>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</si>
  <si>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</si>
  <si>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</si>
  <si>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</si>
  <si>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</si>
  <si>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</si>
  <si>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</si>
  <si>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</si>
  <si>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</si>
  <si>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</si>
  <si>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</si>
  <si>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</si>
  <si>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</si>
  <si>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</si>
  <si>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</si>
  <si>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</si>
  <si>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</si>
  <si>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</si>
  <si>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</si>
  <si>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</si>
  <si>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</si>
  <si>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</si>
  <si>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</si>
  <si>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</si>
  <si>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</si>
  <si>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</si>
  <si>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</si>
  <si>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</si>
  <si>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</si>
  <si>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</si>
  <si>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</si>
  <si>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</si>
  <si>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</si>
  <si>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</si>
  <si>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</si>
  <si>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</si>
  <si>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</si>
  <si>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</si>
  <si>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</si>
  <si>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</si>
  <si>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</si>
  <si>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</si>
  <si>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</si>
  <si>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</si>
  <si>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</si>
  <si>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</si>
  <si>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</si>
  <si>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</si>
  <si>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</si>
  <si>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</si>
  <si>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</si>
  <si>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</si>
  <si>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</si>
  <si>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</si>
  <si>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</si>
  <si>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</si>
  <si>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</si>
  <si>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</si>
  <si>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</si>
  <si>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</si>
  <si>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</si>
  <si>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</si>
  <si>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</si>
  <si>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</si>
  <si>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</si>
  <si>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</si>
  <si>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</si>
  <si>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</si>
  <si>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</si>
  <si>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</si>
  <si>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</si>
  <si>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</si>
  <si>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</si>
  <si>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</si>
  <si>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</si>
  <si>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</si>
  <si>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</si>
  <si>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</si>
  <si>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</si>
  <si>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</si>
  <si>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</si>
  <si>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</si>
  <si>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</si>
  <si>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</si>
  <si>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</si>
  <si>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</si>
  <si>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</si>
  <si>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</si>
  <si>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</si>
  <si>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</si>
  <si>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</si>
  <si>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</si>
  <si>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</si>
  <si>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</si>
  <si>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</si>
  <si>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</si>
  <si>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</si>
  <si>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</si>
  <si>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</si>
  <si>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</si>
  <si>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</si>
  <si>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</si>
  <si>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</si>
  <si>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</si>
  <si>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</si>
  <si>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</si>
  <si>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</si>
  <si>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</si>
  <si>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</si>
  <si>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</si>
  <si>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</si>
  <si>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</si>
  <si>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</si>
  <si>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</si>
  <si>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</si>
  <si>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</si>
  <si>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</si>
  <si>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</si>
  <si>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</si>
  <si>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</si>
  <si>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</si>
  <si>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</si>
  <si>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</si>
  <si>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</si>
  <si>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</si>
  <si>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</si>
  <si>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</si>
  <si>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</si>
  <si>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</si>
  <si>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</si>
  <si>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</si>
  <si>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</si>
  <si>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</si>
  <si>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</si>
  <si>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 pergunta de négocio respondida atravé de alguma analise de dado especifica</t>
  </si>
  <si>
    <t>pergunta 1 - Qual o faturamento sobre o total de vendas de planos anuais (Contendo todas as assinaturas)</t>
  </si>
  <si>
    <t>Rótulos de Linha</t>
  </si>
  <si>
    <t>Total Geral</t>
  </si>
  <si>
    <t>Soma de Total Value</t>
  </si>
  <si>
    <t>pergunta 2 - Qual o faturamento total de vendas de planos anuais, separados por auto renovacao ou não.</t>
  </si>
  <si>
    <t>OBS: Uma pergunta de négocio respondida através de uma analise de dados em especifico, é o que transforma dados em informação.</t>
  </si>
  <si>
    <t>XBOX GAMES PASS SUBSCRIPTIONS SALES</t>
  </si>
  <si>
    <t>Pergunta 3 - Total de vendas de assinaturas EA Play</t>
  </si>
  <si>
    <t>Soma de EA Play Season Pass</t>
  </si>
  <si>
    <t>Pergunta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</si>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</sst>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26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NumberFormat="1"/>
    <xf numFmtId="4" fontId="0" fillId="0" borderId="0" xfId="0" applyNumberFormat="1"/>
    <xf numFmtId="0" fontId="5" fillId="5" borderId="0" xfId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</font>
      <fill>
        <patternFill>
          <bgColor rgb="FF2AE6B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FE3D7B6B-7B21-4FDA-BB8A-F467D1A7EE8B}">
      <tableStyleElement type="wholeTable" dxfId="0"/>
    </tableStyle>
    <tableStyle name="SlicerStyleLight6 2" pivot="0" table="0" count="10" xr9:uid="{1DD24BC4-BF6E-42C9-A9AB-DB23B8F39331}">
      <tableStyleElement type="wholeTable" dxfId="2"/>
      <tableStyleElement type="headerRow" dxfId="1"/>
    </tableStyle>
  </tableStyles>
  <colors>
    <mruColors>
      <color rgb="FF2AE6B1"/>
      <color rgb="FFE8E6E9"/>
      <color rgb="FF22C55E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5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941357705725005E-2"/>
          <c:y val="0.22009495104804744"/>
          <c:w val="0.8787330696554847"/>
          <c:h val="0.742147275838307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B-4D39-8F07-0E5B9E92A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544239"/>
        <c:axId val="1508556239"/>
      </c:barChart>
      <c:catAx>
        <c:axId val="15085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56239"/>
        <c:crosses val="autoZero"/>
        <c:auto val="1"/>
        <c:lblAlgn val="ctr"/>
        <c:lblOffset val="100"/>
        <c:noMultiLvlLbl val="0"/>
      </c:catAx>
      <c:valAx>
        <c:axId val="1508556239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50854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2284" y="5114924"/>
          <a:ext cx="1774505" cy="70485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157584</xdr:colOff>
      <xdr:row>1</xdr:row>
      <xdr:rowOff>79842</xdr:rowOff>
    </xdr:from>
    <xdr:to>
      <xdr:col>0</xdr:col>
      <xdr:colOff>1026740</xdr:colOff>
      <xdr:row>3</xdr:row>
      <xdr:rowOff>7003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5D6FD6-1CB9-4076-A26F-0E34B10EF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550"/>
        <a:stretch>
          <a:fillRect/>
        </a:stretch>
      </xdr:blipFill>
      <xdr:spPr>
        <a:xfrm>
          <a:off x="157584" y="259136"/>
          <a:ext cx="869156" cy="655543"/>
        </a:xfrm>
        <a:prstGeom prst="rect">
          <a:avLst/>
        </a:prstGeom>
      </xdr:spPr>
    </xdr:pic>
    <xdr:clientData/>
  </xdr:twoCellAnchor>
  <xdr:twoCellAnchor editAs="oneCell">
    <xdr:from>
      <xdr:col>0</xdr:col>
      <xdr:colOff>214312</xdr:colOff>
      <xdr:row>3</xdr:row>
      <xdr:rowOff>416719</xdr:rowOff>
    </xdr:from>
    <xdr:to>
      <xdr:col>0</xdr:col>
      <xdr:colOff>2138362</xdr:colOff>
      <xdr:row>13</xdr:row>
      <xdr:rowOff>83344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0A8B5AD-D784-45F8-B7FC-514EB19F3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1324395"/>
              <a:ext cx="1924050" cy="1806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83343</xdr:colOff>
      <xdr:row>8</xdr:row>
      <xdr:rowOff>23812</xdr:rowOff>
    </xdr:from>
    <xdr:to>
      <xdr:col>10</xdr:col>
      <xdr:colOff>11906</xdr:colOff>
      <xdr:row>20</xdr:row>
      <xdr:rowOff>142875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76F10280-B7DC-6986-8B56-5597DA70BAC2}"/>
            </a:ext>
          </a:extLst>
        </xdr:cNvPr>
        <xdr:cNvGrpSpPr/>
      </xdr:nvGrpSpPr>
      <xdr:grpSpPr>
        <a:xfrm>
          <a:off x="2750343" y="1940018"/>
          <a:ext cx="5397034" cy="2505916"/>
          <a:chOff x="2750343" y="1928812"/>
          <a:chExt cx="5453063" cy="250031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BA28A40-971C-96CC-B01A-12C55D9888FC}"/>
              </a:ext>
            </a:extLst>
          </xdr:cNvPr>
          <xdr:cNvSpPr/>
        </xdr:nvSpPr>
        <xdr:spPr>
          <a:xfrm>
            <a:off x="2762250" y="1928813"/>
            <a:ext cx="5417344" cy="2500312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̳álculos!D3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65946D1-9ECA-42ED-9FCE-AFC72F501DCD}"/>
              </a:ext>
            </a:extLst>
          </xdr:cNvPr>
          <xdr:cNvSpPr/>
        </xdr:nvSpPr>
        <xdr:spPr>
          <a:xfrm>
            <a:off x="4833938" y="2762249"/>
            <a:ext cx="2524126" cy="1381126"/>
          </a:xfrm>
          <a:prstGeom prst="round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6CC8758-D011-4FEB-ADDD-01BF5B0BD38E}" type="TxLink">
              <a:rPr lang="en-US" sz="4800" b="0" i="0" u="none" strike="noStrike">
                <a:solidFill>
                  <a:srgbClr val="000000"/>
                </a:solidFill>
                <a:latin typeface="Aptos Narrow"/>
              </a:rPr>
              <a:pPr algn="ctr"/>
              <a:t>600.00</a:t>
            </a:fld>
            <a:endParaRPr lang="en-US" sz="48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242142E-0D4C-459A-9202-B7E313D214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36093" y="2845594"/>
            <a:ext cx="1369219" cy="1135856"/>
          </a:xfrm>
          <a:prstGeom prst="rect">
            <a:avLst/>
          </a:prstGeom>
        </xdr:spPr>
      </xdr:pic>
      <xdr:sp macro="" textlink="">
        <xdr:nvSpPr>
          <xdr:cNvPr id="11" name="Retângulo: Cantos Diagonais Arredondados 10">
            <a:extLst>
              <a:ext uri="{FF2B5EF4-FFF2-40B4-BE49-F238E27FC236}">
                <a16:creationId xmlns:a16="http://schemas.microsoft.com/office/drawing/2014/main" id="{7B4D4982-55DB-42CC-B939-4E080AE498B9}"/>
              </a:ext>
            </a:extLst>
          </xdr:cNvPr>
          <xdr:cNvSpPr/>
        </xdr:nvSpPr>
        <xdr:spPr>
          <a:xfrm>
            <a:off x="2750343" y="1928812"/>
            <a:ext cx="5453063" cy="559594"/>
          </a:xfrm>
          <a:prstGeom prst="round2Diag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TOTAL</a:t>
            </a:r>
            <a:r>
              <a:rPr lang="en-US" sz="1800" b="1" baseline="0">
                <a:solidFill>
                  <a:sysClr val="windowText" lastClr="000000"/>
                </a:solidFill>
              </a:rPr>
              <a:t> SUBSCRIPTIONS EA PLAY SEASON PASS</a:t>
            </a:r>
            <a:endParaRPr lang="en-US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428625</xdr:colOff>
      <xdr:row>8</xdr:row>
      <xdr:rowOff>0</xdr:rowOff>
    </xdr:from>
    <xdr:to>
      <xdr:col>19</xdr:col>
      <xdr:colOff>547688</xdr:colOff>
      <xdr:row>20</xdr:row>
      <xdr:rowOff>119063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931F1B6-BA30-0CD4-4274-1B078CB9B05C}"/>
            </a:ext>
          </a:extLst>
        </xdr:cNvPr>
        <xdr:cNvGrpSpPr/>
      </xdr:nvGrpSpPr>
      <xdr:grpSpPr>
        <a:xfrm>
          <a:off x="9247654" y="1916206"/>
          <a:ext cx="5408240" cy="2505916"/>
          <a:chOff x="9310688" y="1905000"/>
          <a:chExt cx="5453063" cy="2500313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307A542-4E10-4F48-A427-69FEF846EE1B}"/>
              </a:ext>
            </a:extLst>
          </xdr:cNvPr>
          <xdr:cNvGrpSpPr/>
        </xdr:nvGrpSpPr>
        <xdr:grpSpPr>
          <a:xfrm>
            <a:off x="9310688" y="1905000"/>
            <a:ext cx="5453063" cy="2500313"/>
            <a:chOff x="2750343" y="1928812"/>
            <a:chExt cx="5453063" cy="2500313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F77C68C-9558-ACFA-782D-2FC932A6C9DC}"/>
                </a:ext>
              </a:extLst>
            </xdr:cNvPr>
            <xdr:cNvSpPr/>
          </xdr:nvSpPr>
          <xdr:spPr>
            <a:xfrm>
              <a:off x="2762250" y="1928813"/>
              <a:ext cx="5417344" cy="250031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/>
            </a:p>
          </xdr:txBody>
        </xdr:sp>
        <xdr:sp macro="" textlink="C̳álculos!D42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EE77F18-22B9-A075-441B-9777D4C41346}"/>
                </a:ext>
              </a:extLst>
            </xdr:cNvPr>
            <xdr:cNvSpPr/>
          </xdr:nvSpPr>
          <xdr:spPr>
            <a:xfrm>
              <a:off x="4833938" y="2762249"/>
              <a:ext cx="2524126" cy="1381126"/>
            </a:xfrm>
            <a:prstGeom prst="round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CBE201F-0654-49F4-AC80-96D8167B51ED}" type="TxLink">
                <a:rPr lang="en-US" sz="4800" b="1" i="0" u="none" strike="noStrike">
                  <a:solidFill>
                    <a:srgbClr val="000000"/>
                  </a:solidFill>
                  <a:latin typeface="Aptos Narrow"/>
                </a:rPr>
                <a:t>940.00</a:t>
              </a:fld>
              <a:endParaRPr lang="en-US" sz="23900" b="1"/>
            </a:p>
          </xdr:txBody>
        </xdr:sp>
        <xdr:sp macro="" textlink="">
          <xdr:nvSpPr>
            <xdr:cNvPr id="17" name="Retângulo: Cantos Diagonais Arredondados 16">
              <a:extLst>
                <a:ext uri="{FF2B5EF4-FFF2-40B4-BE49-F238E27FC236}">
                  <a16:creationId xmlns:a16="http://schemas.microsoft.com/office/drawing/2014/main" id="{58B8CFFB-7AC6-2DBB-D894-26F1D01CBF0B}"/>
                </a:ext>
              </a:extLst>
            </xdr:cNvPr>
            <xdr:cNvSpPr/>
          </xdr:nvSpPr>
          <xdr:spPr>
            <a:xfrm>
              <a:off x="2750343" y="1928812"/>
              <a:ext cx="5453063" cy="559594"/>
            </a:xfrm>
            <a:prstGeom prst="round2Diag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 b="1">
                  <a:solidFill>
                    <a:sysClr val="windowText" lastClr="000000"/>
                  </a:solidFill>
                </a:rPr>
                <a:t>TOTAL</a:t>
              </a:r>
              <a:r>
                <a:rPr lang="en-US" sz="2000" b="1" baseline="0">
                  <a:solidFill>
                    <a:sysClr val="windowText" lastClr="000000"/>
                  </a:solidFill>
                </a:rPr>
                <a:t> </a:t>
              </a:r>
              <a:r>
                <a:rPr lang="en-US" sz="1800" b="1" baseline="0">
                  <a:solidFill>
                    <a:sysClr val="windowText" lastClr="000000"/>
                  </a:solidFill>
                </a:rPr>
                <a:t>SUBSCRIPTIONS</a:t>
              </a:r>
              <a:r>
                <a:rPr lang="en-US" sz="2000" b="1" baseline="0">
                  <a:solidFill>
                    <a:sysClr val="windowText" lastClr="000000"/>
                  </a:solidFill>
                </a:rPr>
                <a:t> MINECRAFT SEASON PASS</a:t>
              </a:r>
              <a:endParaRPr lang="en-US" sz="2000" b="1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29E3766-0F9A-4645-B755-0EE51D05755B}"/>
              </a:ext>
            </a:extLst>
          </xdr:cNvPr>
          <xdr:cNvGrpSpPr/>
        </xdr:nvGrpSpPr>
        <xdr:grpSpPr>
          <a:xfrm>
            <a:off x="9525000" y="2964655"/>
            <a:ext cx="1584006" cy="704851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C8DB95A-3249-4477-8D6E-531DC782CA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ECF42366-790C-566F-5DB4-F64ED3BC8B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35720</xdr:colOff>
      <xdr:row>24</xdr:row>
      <xdr:rowOff>42862</xdr:rowOff>
    </xdr:from>
    <xdr:to>
      <xdr:col>20</xdr:col>
      <xdr:colOff>543914</xdr:colOff>
      <xdr:row>50</xdr:row>
      <xdr:rowOff>11906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1F16F92A-1F87-1AE1-4246-BDBDA700DB78}"/>
            </a:ext>
          </a:extLst>
        </xdr:cNvPr>
        <xdr:cNvGrpSpPr/>
      </xdr:nvGrpSpPr>
      <xdr:grpSpPr>
        <a:xfrm>
          <a:off x="2702720" y="5063097"/>
          <a:ext cx="12632959" cy="4630691"/>
          <a:chOff x="2414901" y="4983955"/>
          <a:chExt cx="12194068" cy="461248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111451E-8AC5-EB94-FE34-1D609C484246}"/>
              </a:ext>
            </a:extLst>
          </xdr:cNvPr>
          <xdr:cNvGrpSpPr/>
        </xdr:nvGrpSpPr>
        <xdr:grpSpPr>
          <a:xfrm>
            <a:off x="2414901" y="4983955"/>
            <a:ext cx="12116803" cy="4612482"/>
            <a:chOff x="3072428" y="1860946"/>
            <a:chExt cx="5786438" cy="32289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4C686CE-29DD-5A88-4764-919C445D3BFF}"/>
                </a:ext>
              </a:extLst>
            </xdr:cNvPr>
            <xdr:cNvSpPr/>
          </xdr:nvSpPr>
          <xdr:spPr>
            <a:xfrm>
              <a:off x="3072428" y="2450485"/>
              <a:ext cx="5786438" cy="263128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FE2436D-EF62-4276-8E04-FC014A5DBACE}"/>
                </a:ext>
              </a:extLst>
            </xdr:cNvPr>
            <xdr:cNvGraphicFramePr>
              <a:graphicFrameLocks/>
            </xdr:cNvGraphicFramePr>
          </xdr:nvGraphicFramePr>
          <xdr:xfrm>
            <a:off x="3132255" y="1860946"/>
            <a:ext cx="5286610" cy="32289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Diagonais Arredondados 21">
            <a:extLst>
              <a:ext uri="{FF2B5EF4-FFF2-40B4-BE49-F238E27FC236}">
                <a16:creationId xmlns:a16="http://schemas.microsoft.com/office/drawing/2014/main" id="{8A521B70-5485-0976-257A-98314B88F6EE}"/>
              </a:ext>
            </a:extLst>
          </xdr:cNvPr>
          <xdr:cNvSpPr/>
        </xdr:nvSpPr>
        <xdr:spPr>
          <a:xfrm>
            <a:off x="2452687" y="5334000"/>
            <a:ext cx="12156282" cy="571500"/>
          </a:xfrm>
          <a:prstGeom prst="round2DiagRect">
            <a:avLst>
              <a:gd name="adj1" fmla="val 50000"/>
              <a:gd name="adj2" fmla="val 0"/>
            </a:avLst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800" b="1">
                <a:solidFill>
                  <a:sysClr val="windowText" lastClr="000000"/>
                </a:solidFill>
              </a:rPr>
              <a:t>TOTAL SUBSCRIPTIONS XBOX GAME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Zilio" refreshedDate="46034.336214814815" createdVersion="8" refreshedVersion="8" minRefreshableVersion="3" recordCount="295" xr:uid="{742C6F05-C97C-4D2E-8B5F-4AA6500BCF0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593982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A6161-DC7A-4B06-9849-66B8491A9BF3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8:C4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44999-1AA9-4871-AF35-51A4555649E6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E0105-AF3D-417D-831C-84D47EA1E9E5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D2012CF-9DFE-4804-A80F-1037BBC93D5E}" sourceName="Subscription Type">
  <pivotTables>
    <pivotTable tabId="3" name="tbl_annual_total"/>
    <pivotTable tabId="3" name="Tabela dinâmica3"/>
    <pivotTable tabId="3" name="Tabela dinâmica4"/>
  </pivotTables>
  <data>
    <tabular pivotCacheId="65939828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4D96A63-C251-41EF-AF87-0B6A383A7DB4}" cache="SegmentaçãodeDados_Subscription_Type" caption="Subscription Type" style="Estilo de Segmentação de Dados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160" zoomScaleNormal="160" workbookViewId="0">
      <selection activeCell="E27" sqref="E2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23" zoomScale="90" zoomScaleNormal="90" workbookViewId="0">
      <selection activeCell="K61" sqref="K6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D42"/>
  <sheetViews>
    <sheetView showGridLines="0" workbookViewId="0">
      <selection activeCell="K61" sqref="K61"/>
    </sheetView>
  </sheetViews>
  <sheetFormatPr defaultRowHeight="14.25"/>
  <cols>
    <col min="2" max="2" width="18" bestFit="1" customWidth="1"/>
    <col min="3" max="3" width="35.125" bestFit="1" customWidth="1"/>
    <col min="4" max="4" width="32.125" bestFit="1" customWidth="1"/>
    <col min="5" max="6" width="12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5" spans="2:3">
      <c r="B5" t="s">
        <v>313</v>
      </c>
    </row>
    <row r="6" spans="2:3">
      <c r="B6" t="s">
        <v>314</v>
      </c>
    </row>
    <row r="7" spans="2:3">
      <c r="B7" t="s">
        <v>318</v>
      </c>
    </row>
    <row r="10" spans="2:3" ht="15">
      <c r="B10" s="15" t="s">
        <v>319</v>
      </c>
    </row>
    <row r="13" spans="2:3">
      <c r="B13" s="12" t="s">
        <v>16</v>
      </c>
      <c r="C13" t="s">
        <v>24</v>
      </c>
    </row>
    <row r="15" spans="2:3">
      <c r="B15" s="12" t="s">
        <v>315</v>
      </c>
      <c r="C15" t="s">
        <v>317</v>
      </c>
    </row>
    <row r="16" spans="2:3">
      <c r="B16" s="13" t="s">
        <v>23</v>
      </c>
      <c r="C16" s="14">
        <v>217</v>
      </c>
    </row>
    <row r="17" spans="2:4">
      <c r="B17" s="13" t="s">
        <v>19</v>
      </c>
      <c r="C17" s="14">
        <v>1537</v>
      </c>
    </row>
    <row r="18" spans="2:4">
      <c r="B18" s="13" t="s">
        <v>316</v>
      </c>
      <c r="C18" s="14">
        <v>1754</v>
      </c>
    </row>
    <row r="22" spans="2:4">
      <c r="B22" t="s">
        <v>321</v>
      </c>
    </row>
    <row r="24" spans="2:4">
      <c r="B24" s="12" t="s">
        <v>16</v>
      </c>
      <c r="C24" t="s">
        <v>24</v>
      </c>
    </row>
    <row r="26" spans="2:4">
      <c r="B26" s="12" t="s">
        <v>315</v>
      </c>
      <c r="C26" t="s">
        <v>322</v>
      </c>
    </row>
    <row r="27" spans="2:4">
      <c r="B27" s="13" t="s">
        <v>22</v>
      </c>
      <c r="C27" s="17">
        <v>0</v>
      </c>
    </row>
    <row r="28" spans="2:4">
      <c r="B28" s="13" t="s">
        <v>26</v>
      </c>
      <c r="C28" s="17">
        <v>0</v>
      </c>
    </row>
    <row r="29" spans="2:4">
      <c r="B29" s="13" t="s">
        <v>18</v>
      </c>
      <c r="C29" s="17">
        <v>600</v>
      </c>
    </row>
    <row r="30" spans="2:4">
      <c r="B30" s="13" t="s">
        <v>316</v>
      </c>
      <c r="C30" s="17">
        <v>600</v>
      </c>
      <c r="D30" s="18">
        <f>GETPIVOTDATA("EA Play Season Pass
Price",$B$26)</f>
        <v>600</v>
      </c>
    </row>
    <row r="34" spans="2:4">
      <c r="B34" t="s">
        <v>323</v>
      </c>
    </row>
    <row r="36" spans="2:4">
      <c r="B36" s="12" t="s">
        <v>16</v>
      </c>
      <c r="C36" t="s">
        <v>24</v>
      </c>
    </row>
    <row r="38" spans="2:4">
      <c r="B38" s="12" t="s">
        <v>315</v>
      </c>
      <c r="C38" t="s">
        <v>324</v>
      </c>
    </row>
    <row r="39" spans="2:4">
      <c r="B39" s="13" t="s">
        <v>22</v>
      </c>
      <c r="C39" s="14">
        <v>0</v>
      </c>
    </row>
    <row r="40" spans="2:4">
      <c r="B40" s="13" t="s">
        <v>26</v>
      </c>
      <c r="C40" s="14">
        <v>540</v>
      </c>
    </row>
    <row r="41" spans="2:4">
      <c r="B41" s="13" t="s">
        <v>18</v>
      </c>
      <c r="C41" s="14">
        <v>400</v>
      </c>
    </row>
    <row r="42" spans="2:4">
      <c r="B42" s="13" t="s">
        <v>316</v>
      </c>
      <c r="C42" s="14">
        <v>940</v>
      </c>
      <c r="D42" s="18">
        <f>GETPIVOTDATA("Minecraft Season Pass Price",$B$38)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M73"/>
  <sheetViews>
    <sheetView showGridLines="0" showRowColHeaders="0" tabSelected="1" zoomScale="85" zoomScaleNormal="85" workbookViewId="0">
      <selection activeCell="N67" sqref="N67"/>
    </sheetView>
  </sheetViews>
  <sheetFormatPr defaultRowHeight="14.25"/>
  <cols>
    <col min="1" max="1" width="31.375" style="5" customWidth="1"/>
    <col min="2" max="2" width="3.625" customWidth="1"/>
    <col min="12" max="12" width="6.625" customWidth="1"/>
  </cols>
  <sheetData>
    <row r="3" spans="1:13" ht="43.5" customHeight="1">
      <c r="C3" s="19" t="s">
        <v>320</v>
      </c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43.5" customHeight="1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7" customFormat="1" ht="8.25" customHeight="1">
      <c r="A5" s="5"/>
    </row>
    <row r="6" spans="1:13" s="7" customFormat="1" ht="7.5" customHeight="1">
      <c r="A6" s="5"/>
    </row>
    <row r="7" spans="1:13" s="7" customFormat="1" ht="10.5" customHeight="1">
      <c r="A7" s="5"/>
    </row>
    <row r="8" spans="1:13" s="7" customFormat="1" ht="9.75" customHeight="1">
      <c r="A8" s="5"/>
    </row>
    <row r="9" spans="1:13" s="7" customFormat="1" ht="33" customHeight="1">
      <c r="A9" s="5"/>
    </row>
    <row r="10" spans="1:13" s="7" customFormat="1">
      <c r="A10" s="5"/>
    </row>
    <row r="11" spans="1:13" s="7" customFormat="1">
      <c r="A11" s="5"/>
    </row>
    <row r="12" spans="1:13" s="7" customFormat="1">
      <c r="A12" s="5"/>
    </row>
    <row r="13" spans="1:13" s="7" customFormat="1">
      <c r="A13" s="5"/>
    </row>
    <row r="14" spans="1:13" s="7" customFormat="1">
      <c r="A14" s="5"/>
    </row>
    <row r="15" spans="1:13" s="7" customFormat="1">
      <c r="A15" s="5"/>
    </row>
    <row r="16" spans="1:13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</sheetData>
  <mergeCells count="1">
    <mergeCell ref="C3:M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Zilio</cp:lastModifiedBy>
  <dcterms:created xsi:type="dcterms:W3CDTF">2024-12-19T13:13:10Z</dcterms:created>
  <dcterms:modified xsi:type="dcterms:W3CDTF">2026-01-12T12:45:48Z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